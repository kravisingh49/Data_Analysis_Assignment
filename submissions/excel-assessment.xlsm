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maitrey.trivedi\Downloads\"/>
    </mc:Choice>
  </mc:AlternateContent>
  <xr:revisionPtr revIDLastSave="0" documentId="13_ncr:1_{0382A69F-5668-416B-954B-931575D06690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H41" i="1"/>
  <c r="C22" i="19" a="1"/>
  <c r="C22" i="19" s="1"/>
  <c r="F7" i="18"/>
  <c r="F8" i="18"/>
  <c r="F9" i="18"/>
  <c r="F28" i="18" s="1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30" i="18" s="1"/>
  <c r="E7" i="18"/>
  <c r="E8" i="18"/>
  <c r="E29" i="18" s="1"/>
  <c r="E9" i="18"/>
  <c r="E10" i="18"/>
  <c r="E11" i="18"/>
  <c r="E12" i="18"/>
  <c r="E30" i="18" s="1"/>
  <c r="E13" i="18"/>
  <c r="E14" i="18"/>
  <c r="E28" i="18" s="1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29" i="18" s="1"/>
  <c r="D18" i="18"/>
  <c r="D19" i="18"/>
  <c r="D20" i="18"/>
  <c r="D21" i="18"/>
  <c r="D22" i="18"/>
  <c r="D23" i="18"/>
  <c r="D24" i="18"/>
  <c r="D25" i="18"/>
  <c r="D26" i="18"/>
  <c r="D27" i="18"/>
  <c r="D6" i="18"/>
  <c r="D30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8" i="18" s="1"/>
  <c r="B6" i="18"/>
  <c r="B7" i="18"/>
  <c r="C30" i="18" l="1"/>
  <c r="D28" i="18"/>
  <c r="C29" i="18"/>
  <c r="F29" i="18"/>
  <c r="B8" i="18"/>
  <c r="B9" i="18"/>
  <c r="B10" i="18"/>
  <c r="B11" i="18"/>
  <c r="B12" i="18"/>
  <c r="B13" i="18"/>
  <c r="B30" i="18" s="1"/>
  <c r="B14" i="18"/>
  <c r="B15" i="18"/>
  <c r="B16" i="18"/>
  <c r="B17" i="18"/>
  <c r="B18" i="18"/>
  <c r="B28" i="18" s="1"/>
  <c r="B19" i="18"/>
  <c r="B29" i="18" s="1"/>
  <c r="B20" i="18"/>
  <c r="B21" i="18"/>
  <c r="B22" i="18"/>
  <c r="B23" i="18"/>
  <c r="B24" i="18"/>
  <c r="B25" i="18"/>
  <c r="B26" i="18"/>
  <c r="B27" i="18"/>
</calcChain>
</file>

<file path=xl/sharedStrings.xml><?xml version="1.0" encoding="utf-8"?>
<sst xmlns="http://schemas.openxmlformats.org/spreadsheetml/2006/main" count="409" uniqueCount="185">
  <si>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</si>
  <si>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</si>
  <si>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</si>
  <si>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</si>
  <si>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</si>
  <si>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</si>
  <si>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</si>
  <si>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</si>
  <si>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</si>
  <si>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</si>
  <si>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</si>
  <si>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</si>
  <si>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</si>
  <si>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</si>
  <si>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</si>
  <si>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</si>
  <si>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</si>
  <si>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</si>
  <si>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</si>
  <si>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</si>
  <si>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</si>
  <si>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</si>
  <si>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</si>
  <si>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</si>
  <si>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</si>
  <si>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</si>
  <si>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</si>
  <si>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</si>
  <si>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</si>
  <si>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</si>
  <si>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</si>
  <si>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</si>
  <si>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</si>
  <si>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</si>
  <si>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</si>
  <si>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</si>
  <si>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</si>
  <si>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</si>
  <si>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</si>
  <si>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</si>
  <si>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</si>
  <si>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</si>
  <si>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</si>
  <si>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</si>
  <si>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</si>
  <si>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</si>
  <si>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</si>
  <si>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</si>
  <si>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</si>
  <si>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</si>
  <si>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</si>
  <si>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</si>
  <si>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</si>
  <si>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</si>
  <si>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</si>
  <si>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</si>
  <si>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</si>
  <si>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</si>
  <si>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</si>
  <si>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</si>
  <si>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</si>
  <si>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</si>
  <si>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</si>
  <si>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</si>
  <si>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</si>
  <si>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</si>
  <si>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</si>
  <si>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</si>
  <si>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</si>
  <si>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</si>
  <si>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</si>
  <si>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</si>
  <si>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</si>
  <si>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</si>
  <si>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</si>
  <si>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</si>
  <si>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</si>
  <si>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</si>
  <si>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</si>
  <si>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</si>
  <si>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</si>
  <si>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</si>
  <si>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</si>
  <si>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</si>
  <si>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</si>
  <si>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</si>
  <si>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</si>
  <si>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</si>
  <si>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</si>
  <si>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</si>
  <si>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</si>
  <si>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</si>
  <si>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</si>
  <si>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</si>
  <si>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</si>
  <si>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</si>
  <si>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</si>
  <si>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</si>
  <si>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</si>
  <si>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</si>
  <si>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</si>
  <si>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</si>
  <si>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</si>
  <si>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</si>
  <si>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</si>
  <si>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</si>
  <si>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</si>
  <si>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</si>
  <si>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</si>
  <si>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</si>
  <si>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</si>
  <si>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</si>
  <si>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</si>
  <si>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</si>
  <si>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</si>
  <si>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</si>
  <si>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</si>
  <si>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</si>
  <si>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</si>
  <si>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</si>
  <si>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</si>
  <si>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</si>
  <si>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</si>
  <si>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</si>
  <si>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</si>
  <si>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</si>
  <si>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</si>
  <si>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</si>
  <si>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</si>
  <si>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</si>
  <si>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</si>
  <si>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</si>
  <si>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</si>
  <si>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</si>
  <si>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</si>
  <si>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</si>
  <si>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</si>
  <si>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</si>
  <si>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</si>
  <si>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</si>
  <si>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</si>
  <si>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</si>
  <si>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</si>
  <si>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</si>
  <si>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</si>
  <si>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</si>
  <si>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</si>
  <si>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</si>
  <si>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</si>
  <si>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</si>
  <si>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</si>
  <si>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</si>
  <si>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</si>
  <si>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</si>
  <si>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</si>
  <si>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</si>
  <si>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</si>
  <si>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</si>
  <si>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</si>
  <si>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</si>
  <si>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</si>
  <si>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</si>
  <si>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</si>
  <si>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</si>
  <si>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</si>
  <si>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</si>
  <si>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</si>
  <si>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</si>
  <si>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</si>
  <si>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</si>
  <si>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</si>
  <si>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</si>
  <si>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</si>
  <si>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</si>
  <si>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</si>
  <si>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</si>
  <si>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</si>
  <si>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used text to column function in data tab</t>
  </si>
  <si>
    <t>Deliminator</t>
  </si>
  <si>
    <t>DSUM($A$1:$X$40,$H$1,$G$45:$G$46)</t>
  </si>
  <si>
    <t>&gt;20</t>
  </si>
  <si>
    <t>INDEX($A$9:$J$18,MATCH(VLOOKUP(A23,$M$9:$N$18,2,0),$A$9:$A$18,0),MATCH(VLOOKUP(B23,$M$9:$N$18,2,0),$A$9:$J$9,0))</t>
  </si>
  <si>
    <t>1. Used Index &amp; Match to find the cross section value name 1 and name 2 in table C.</t>
  </si>
  <si>
    <t>2. Index is used to select the table_A with all the values and Match is used to find the exact value at the intersecting point of a particular row &amp; column.</t>
  </si>
  <si>
    <t>3. Inside Match, used Vlookup to pick the alphabatical name from table_B against each name in Table_C.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</si>
</sst>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7" fontId="3" fillId="0" borderId="0" xfId="0" applyNumberFormat="1" applyFont="1"/>
    <xf numFmtId="0" fontId="8" fillId="0" borderId="3" xfId="0" applyFont="1" applyBorder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2000000}"/>
    <cellStyle name="Normal 2 3" xfId="7" xr:uid="{00000000-0005-0000-0000-000003000000}"/>
    <cellStyle name="Normal 3" xfId="2" xr:uid="{00000000-0005-0000-0000-000004000000}"/>
    <cellStyle name="Normal 3 2" xfId="8" xr:uid="{00000000-0005-0000-0000-000005000000}"/>
    <cellStyle name="Normal 4" xfId="4" xr:uid="{00000000-0005-0000-0000-000006000000}"/>
    <cellStyle name="Normal 5" xfId="5" xr:uid="{00000000-0005-0000-0000-000007000000}"/>
    <cellStyle name="Normal 5 2" xfId="6" xr:uid="{00000000-0005-0000-0000-000008000000}"/>
    <cellStyle name="Normal 5 3" xfId="10" xr:uid="{00000000-0005-0000-0000-000009000000}"/>
    <cellStyle name="Normal 7" xfId="9" xr:uid="{00000000-0005-0000-0000-00000A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39997558519241921"/>
  </sheetPr>
  <dimension ref="A1:C15"/>
  <sheetViews>
    <sheetView topLeftCell="A2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46"/>
  <sheetViews>
    <sheetView topLeftCell="R1" zoomScaleNormal="100" workbookViewId="0">
      <pane ySplit="1" topLeftCell="A21" activePane="bottomLeft" state="frozen"/>
      <selection pane="bottomLeft" activeCell="X43" sqref="X43"/>
    </sheetView>
  </sheetViews>
  <sheetFormatPr defaultColWidth="9" defaultRowHeight="14.4" x14ac:dyDescent="0.3"/>
  <cols>
    <col min="1" max="1" width="25.33203125" style="1" bestFit="1" customWidth="1"/>
    <col min="2" max="2" width="7.33203125" style="1" bestFit="1" customWidth="1"/>
    <col min="3" max="3" width="9.77734375" style="1" bestFit="1" customWidth="1"/>
    <col min="4" max="4" width="11" style="24" customWidth="1"/>
    <col min="5" max="5" width="9.109375" style="1" bestFit="1" customWidth="1"/>
    <col min="6" max="6" width="10.33203125" style="24" bestFit="1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33203125" style="1" bestFit="1" customWidth="1"/>
    <col min="19" max="20" width="18.7773437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">
      <c r="H41" s="1">
        <f>DSUM($A$1:$X$40,$H$1,$G$45:$G$46)</f>
        <v>1473.0000000000002</v>
      </c>
    </row>
    <row r="45" spans="1:24" x14ac:dyDescent="0.3">
      <c r="G45" s="29" t="s">
        <v>65</v>
      </c>
    </row>
    <row r="46" spans="1:24" x14ac:dyDescent="0.3">
      <c r="G46" s="1" t="s">
        <v>180</v>
      </c>
    </row>
  </sheetData>
  <conditionalFormatting sqref="A1:A1048576">
    <cfRule type="duplicateValues" dxfId="6" priority="5"/>
  </conditionalFormatting>
  <conditionalFormatting sqref="B1:B1048576">
    <cfRule type="duplicateValues" dxfId="5" priority="4"/>
  </conditionalFormatting>
  <conditionalFormatting sqref="A1">
    <cfRule type="colorScale" priority="3">
      <colorScale>
        <cfvo type="min"/>
        <cfvo type="max"/>
        <color rgb="FFFF7128"/>
        <color rgb="FFFFEF9C"/>
      </colorScale>
    </cfRule>
  </conditionalFormatting>
  <conditionalFormatting sqref="G2:W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4"/>
  <sheetViews>
    <sheetView zoomScaleNormal="100" workbookViewId="0">
      <selection activeCell="C17" sqref="C17"/>
    </sheetView>
  </sheetViews>
  <sheetFormatPr defaultColWidth="11" defaultRowHeight="14.4" x14ac:dyDescent="0.3"/>
  <cols>
    <col min="1" max="1" width="8.33203125" style="1" bestFit="1" customWidth="1"/>
    <col min="2" max="2" width="65.7773437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179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30"/>
  <sheetViews>
    <sheetView topLeftCell="A11" zoomScaleNormal="100" workbookViewId="0">
      <selection activeCell="F31" sqref="F31"/>
    </sheetView>
  </sheetViews>
  <sheetFormatPr defaultColWidth="11" defaultRowHeight="13.8" x14ac:dyDescent="0.3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VLOOKUP(A6,Dataset!$A$1:$X$40,7,FALSE)</f>
        <v>2.7</v>
      </c>
      <c r="C6" s="12">
        <f>VLOOKUP(A6,Dataset!$A$1:$X$40,13,FALSE)</f>
        <v>5.3</v>
      </c>
      <c r="D6" s="12">
        <f>VLOOKUP(A6,Dataset!$A$1:$X$40,18,FALSE)</f>
        <v>4.2</v>
      </c>
      <c r="E6" s="12">
        <f>VLOOKUP(A6,Dataset!$A$1:$X$40,20,FALSE)</f>
        <v>8.9</v>
      </c>
      <c r="F6" s="8">
        <f>VLOOKUP(A6,Dataset!$A$1:$X$40,22,FALSE)</f>
        <v>4.2</v>
      </c>
    </row>
    <row r="7" spans="1:7" ht="14.4" x14ac:dyDescent="0.3">
      <c r="A7" s="7" t="s">
        <v>4</v>
      </c>
      <c r="B7" s="12">
        <f>VLOOKUP(A7,Dataset!$A$1:$X$40,7,FALSE)</f>
        <v>2.7</v>
      </c>
      <c r="C7" s="12">
        <f>VLOOKUP(A7,Dataset!$A$1:$X$40,13,FALSE)</f>
        <v>5.3</v>
      </c>
      <c r="D7" s="12">
        <f>VLOOKUP(A7,Dataset!$A$1:$X$40,18,FALSE)</f>
        <v>4.2</v>
      </c>
      <c r="E7" s="12">
        <f>VLOOKUP(A7,Dataset!$A$1:$X$40,20,FALSE)</f>
        <v>8.9</v>
      </c>
      <c r="F7" s="8">
        <f>VLOOKUP(A7,Dataset!$A$1:$X$40,22,FALSE)</f>
        <v>4.2</v>
      </c>
    </row>
    <row r="8" spans="1:7" ht="14.4" x14ac:dyDescent="0.3">
      <c r="A8" s="7" t="s">
        <v>7</v>
      </c>
      <c r="B8" s="12">
        <f>VLOOKUP(A8,Dataset!$A$1:$X$40,7,FALSE)</f>
        <v>3.6</v>
      </c>
      <c r="C8" s="12">
        <f>VLOOKUP(A8,Dataset!$A$1:$X$40,13,FALSE)</f>
        <v>7.6</v>
      </c>
      <c r="D8" s="12">
        <f>VLOOKUP(A8,Dataset!$A$1:$X$40,18,FALSE)</f>
        <v>5.8</v>
      </c>
      <c r="E8" s="12">
        <f>VLOOKUP(A8,Dataset!$A$1:$X$40,20,FALSE)</f>
        <v>12.2</v>
      </c>
      <c r="F8" s="8">
        <f>VLOOKUP(A8,Dataset!$A$1:$X$40,22,FALSE)</f>
        <v>5.8</v>
      </c>
    </row>
    <row r="9" spans="1:7" ht="14.4" x14ac:dyDescent="0.3">
      <c r="A9" s="7" t="s">
        <v>8</v>
      </c>
      <c r="B9" s="12">
        <f>VLOOKUP(A9,Dataset!$A$1:$X$40,7,FALSE)</f>
        <v>4.9000000000000004</v>
      </c>
      <c r="C9" s="12">
        <f>VLOOKUP(A9,Dataset!$A$1:$X$40,13,FALSE)</f>
        <v>10</v>
      </c>
      <c r="D9" s="12">
        <f>VLOOKUP(A9,Dataset!$A$1:$X$40,18,FALSE)</f>
        <v>8.1</v>
      </c>
      <c r="E9" s="12">
        <f>VLOOKUP(A9,Dataset!$A$1:$X$40,20,FALSE)</f>
        <v>17</v>
      </c>
      <c r="F9" s="8">
        <f>VLOOKUP(A9,Dataset!$A$1:$X$40,22,FALSE)</f>
        <v>8.1</v>
      </c>
    </row>
    <row r="10" spans="1:7" ht="14.4" x14ac:dyDescent="0.3">
      <c r="A10" s="7" t="s">
        <v>11</v>
      </c>
      <c r="B10" s="12">
        <f>VLOOKUP(A10,Dataset!$A$1:$X$40,7,FALSE)</f>
        <v>9.4</v>
      </c>
      <c r="C10" s="12">
        <f>VLOOKUP(A10,Dataset!$A$1:$X$40,13,FALSE)</f>
        <v>19.2</v>
      </c>
      <c r="D10" s="12">
        <f>VLOOKUP(A10,Dataset!$A$1:$X$40,18,FALSE)</f>
        <v>16.100000000000001</v>
      </c>
      <c r="E10" s="12">
        <f>VLOOKUP(A10,Dataset!$A$1:$X$40,20,FALSE)</f>
        <v>32.799999999999997</v>
      </c>
      <c r="F10" s="8">
        <f>VLOOKUP(A10,Dataset!$A$1:$X$40,22,FALSE)</f>
        <v>16.100000000000001</v>
      </c>
    </row>
    <row r="11" spans="1:7" ht="14.4" x14ac:dyDescent="0.3">
      <c r="A11" s="7" t="s">
        <v>12</v>
      </c>
      <c r="B11" s="12">
        <f>VLOOKUP(A11,Dataset!$A$1:$X$40,7,FALSE)</f>
        <v>11.6</v>
      </c>
      <c r="C11" s="12">
        <f>VLOOKUP(A11,Dataset!$A$1:$X$40,13,FALSE)</f>
        <v>23.6</v>
      </c>
      <c r="D11" s="12">
        <f>VLOOKUP(A11,Dataset!$A$1:$X$40,18,FALSE)</f>
        <v>21.3</v>
      </c>
      <c r="E11" s="12">
        <f>VLOOKUP(A11,Dataset!$A$1:$X$40,20,FALSE)</f>
        <v>43</v>
      </c>
      <c r="F11" s="8">
        <f>VLOOKUP(A11,Dataset!$A$1:$X$40,22,FALSE)</f>
        <v>21.3</v>
      </c>
    </row>
    <row r="12" spans="1:7" ht="14.4" x14ac:dyDescent="0.3">
      <c r="A12" s="7" t="s">
        <v>14</v>
      </c>
      <c r="B12" s="12">
        <f>VLOOKUP(A12,Dataset!$A$1:$X$40,7,FALSE)</f>
        <v>18.399999999999999</v>
      </c>
      <c r="C12" s="12">
        <f>VLOOKUP(A12,Dataset!$A$1:$X$40,13,FALSE)</f>
        <v>37.200000000000003</v>
      </c>
      <c r="D12" s="12">
        <f>VLOOKUP(A12,Dataset!$A$1:$X$40,18,FALSE)</f>
        <v>33.799999999999997</v>
      </c>
      <c r="E12" s="12">
        <f>VLOOKUP(A12,Dataset!$A$1:$X$40,20,FALSE)</f>
        <v>67.900000000000006</v>
      </c>
      <c r="F12" s="8">
        <f>VLOOKUP(A12,Dataset!$A$1:$X$40,22,FALSE)</f>
        <v>33.799999999999997</v>
      </c>
    </row>
    <row r="13" spans="1:7" ht="14.4" x14ac:dyDescent="0.3">
      <c r="A13" s="7" t="s">
        <v>15</v>
      </c>
      <c r="B13" s="12">
        <f>VLOOKUP(A13,Dataset!$A$1:$X$40,7,FALSE)</f>
        <v>0</v>
      </c>
      <c r="C13" s="12">
        <f>VLOOKUP(A13,Dataset!$A$1:$X$40,13,FALSE)</f>
        <v>0</v>
      </c>
      <c r="D13" s="12">
        <f>VLOOKUP(A13,Dataset!$A$1:$X$40,18,FALSE)</f>
        <v>0</v>
      </c>
      <c r="E13" s="12">
        <f>VLOOKUP(A13,Dataset!$A$1:$X$40,20,FALSE)</f>
        <v>0</v>
      </c>
      <c r="F13" s="8">
        <f>VLOOKUP(A13,Dataset!$A$1:$X$40,22,FALSE)</f>
        <v>0</v>
      </c>
    </row>
    <row r="14" spans="1:7" ht="14.4" x14ac:dyDescent="0.3">
      <c r="A14" s="7" t="s">
        <v>16</v>
      </c>
      <c r="B14" s="12">
        <f>VLOOKUP(A14,Dataset!$A$1:$X$40,7,FALSE)</f>
        <v>21.9</v>
      </c>
      <c r="C14" s="12">
        <f>VLOOKUP(A14,Dataset!$A$1:$X$40,13,FALSE)</f>
        <v>42.3</v>
      </c>
      <c r="D14" s="12">
        <f>VLOOKUP(A14,Dataset!$A$1:$X$40,18,FALSE)</f>
        <v>40.1</v>
      </c>
      <c r="E14" s="12">
        <f>VLOOKUP(A14,Dataset!$A$1:$X$40,20,FALSE)</f>
        <v>76.599999999999994</v>
      </c>
      <c r="F14" s="8">
        <f>VLOOKUP(A14,Dataset!$A$1:$X$40,22,FALSE)</f>
        <v>40.1</v>
      </c>
    </row>
    <row r="15" spans="1:7" ht="14.4" x14ac:dyDescent="0.3">
      <c r="A15" s="7" t="s">
        <v>18</v>
      </c>
      <c r="B15" s="12">
        <f>VLOOKUP(A15,Dataset!$A$1:$X$40,7,FALSE)</f>
        <v>26.8</v>
      </c>
      <c r="C15" s="12">
        <f>VLOOKUP(A15,Dataset!$A$1:$X$40,13,FALSE)</f>
        <v>54.6</v>
      </c>
      <c r="D15" s="12">
        <f>VLOOKUP(A15,Dataset!$A$1:$X$40,18,FALSE)</f>
        <v>47.9</v>
      </c>
      <c r="E15" s="12">
        <f>VLOOKUP(A15,Dataset!$A$1:$X$40,20,FALSE)</f>
        <v>96.8</v>
      </c>
      <c r="F15" s="8">
        <f>VLOOKUP(A15,Dataset!$A$1:$X$40,22,FALSE)</f>
        <v>47.9</v>
      </c>
    </row>
    <row r="16" spans="1:7" ht="14.4" x14ac:dyDescent="0.3">
      <c r="A16" s="7" t="s">
        <v>20</v>
      </c>
      <c r="B16" s="12">
        <f>VLOOKUP(A16,Dataset!$A$1:$X$40,7,FALSE)</f>
        <v>28.5</v>
      </c>
      <c r="C16" s="12">
        <f>VLOOKUP(A16,Dataset!$A$1:$X$40,13,FALSE)</f>
        <v>58.3</v>
      </c>
      <c r="D16" s="12">
        <f>VLOOKUP(A16,Dataset!$A$1:$X$40,18,FALSE)</f>
        <v>52.3</v>
      </c>
      <c r="E16" s="12">
        <f>VLOOKUP(A16,Dataset!$A$1:$X$40,20,FALSE)</f>
        <v>106.1</v>
      </c>
      <c r="F16" s="8">
        <f>VLOOKUP(A16,Dataset!$A$1:$X$40,22,FALSE)</f>
        <v>52.3</v>
      </c>
    </row>
    <row r="17" spans="1:6" ht="14.4" x14ac:dyDescent="0.3">
      <c r="A17" s="7" t="s">
        <v>22</v>
      </c>
      <c r="B17" s="12">
        <f>VLOOKUP(A17,Dataset!$A$1:$X$40,7,FALSE)</f>
        <v>30.7</v>
      </c>
      <c r="C17" s="12">
        <f>VLOOKUP(A17,Dataset!$A$1:$X$40,13,FALSE)</f>
        <v>62.5</v>
      </c>
      <c r="D17" s="12">
        <f>VLOOKUP(A17,Dataset!$A$1:$X$40,18,FALSE)</f>
        <v>57</v>
      </c>
      <c r="E17" s="12">
        <f>VLOOKUP(A17,Dataset!$A$1:$X$40,20,FALSE)</f>
        <v>115.1</v>
      </c>
      <c r="F17" s="8">
        <f>VLOOKUP(A17,Dataset!$A$1:$X$40,22,FALSE)</f>
        <v>57</v>
      </c>
    </row>
    <row r="18" spans="1:6" ht="14.4" x14ac:dyDescent="0.3">
      <c r="A18" s="7" t="s">
        <v>23</v>
      </c>
      <c r="B18" s="12">
        <f>VLOOKUP(A18,Dataset!$A$1:$X$40,7,FALSE)</f>
        <v>33.799999999999997</v>
      </c>
      <c r="C18" s="12">
        <f>VLOOKUP(A18,Dataset!$A$1:$X$40,13,FALSE)</f>
        <v>67.900000000000006</v>
      </c>
      <c r="D18" s="12">
        <f>VLOOKUP(A18,Dataset!$A$1:$X$40,18,FALSE)</f>
        <v>61.4</v>
      </c>
      <c r="E18" s="12">
        <f>VLOOKUP(A18,Dataset!$A$1:$X$40,20,FALSE)</f>
        <v>124.4</v>
      </c>
      <c r="F18" s="8">
        <f>VLOOKUP(A18,Dataset!$A$1:$X$40,22,FALSE)</f>
        <v>61.4</v>
      </c>
    </row>
    <row r="19" spans="1:6" ht="14.4" x14ac:dyDescent="0.3">
      <c r="A19" s="7" t="s">
        <v>24</v>
      </c>
      <c r="B19" s="12">
        <f>VLOOKUP(A19,Dataset!$A$1:$X$40,7,FALSE)</f>
        <v>34.700000000000003</v>
      </c>
      <c r="C19" s="12">
        <f>VLOOKUP(A19,Dataset!$A$1:$X$40,13,FALSE)</f>
        <v>70.8</v>
      </c>
      <c r="D19" s="12">
        <f>VLOOKUP(A19,Dataset!$A$1:$X$40,18,FALSE)</f>
        <v>63.6</v>
      </c>
      <c r="E19" s="12">
        <f>VLOOKUP(A19,Dataset!$A$1:$X$40,20,FALSE)</f>
        <v>128.6</v>
      </c>
      <c r="F19" s="8">
        <f>VLOOKUP(A19,Dataset!$A$1:$X$40,22,FALSE)</f>
        <v>63.6</v>
      </c>
    </row>
    <row r="20" spans="1:6" ht="14.4" x14ac:dyDescent="0.3">
      <c r="A20" s="7" t="s">
        <v>28</v>
      </c>
      <c r="B20" s="12">
        <f>VLOOKUP(A20,Dataset!$A$1:$X$40,7,FALSE)</f>
        <v>0</v>
      </c>
      <c r="C20" s="12">
        <f>VLOOKUP(A20,Dataset!$A$1:$X$40,13,FALSE)</f>
        <v>0</v>
      </c>
      <c r="D20" s="12">
        <f>VLOOKUP(A20,Dataset!$A$1:$X$40,18,FALSE)</f>
        <v>0</v>
      </c>
      <c r="E20" s="12">
        <f>VLOOKUP(A20,Dataset!$A$1:$X$40,20,FALSE)</f>
        <v>0</v>
      </c>
      <c r="F20" s="8">
        <f>VLOOKUP(A20,Dataset!$A$1:$X$40,22,FALSE)</f>
        <v>0</v>
      </c>
    </row>
    <row r="21" spans="1:6" ht="14.4" x14ac:dyDescent="0.3">
      <c r="A21" s="7" t="s">
        <v>57</v>
      </c>
      <c r="B21" s="12">
        <f>VLOOKUP(A21,Dataset!$A$1:$X$40,7,FALSE)</f>
        <v>41.3</v>
      </c>
      <c r="C21" s="12">
        <f>VLOOKUP(A21,Dataset!$A$1:$X$40,13,FALSE)</f>
        <v>83.5</v>
      </c>
      <c r="D21" s="12">
        <f>VLOOKUP(A21,Dataset!$A$1:$X$40,18,FALSE)</f>
        <v>75</v>
      </c>
      <c r="E21" s="12">
        <f>VLOOKUP(A21,Dataset!$A$1:$X$40,20,FALSE)</f>
        <v>151.5</v>
      </c>
      <c r="F21" s="8">
        <f>VLOOKUP(A21,Dataset!$A$1:$X$40,22,FALSE)</f>
        <v>75</v>
      </c>
    </row>
    <row r="22" spans="1:6" ht="14.4" x14ac:dyDescent="0.3">
      <c r="A22" s="7" t="s">
        <v>58</v>
      </c>
      <c r="B22" s="12">
        <f>VLOOKUP(A22,Dataset!$A$1:$X$40,7,FALSE)</f>
        <v>-1</v>
      </c>
      <c r="C22" s="12">
        <f>VLOOKUP(A22,Dataset!$A$1:$X$40,13,FALSE)</f>
        <v>-1</v>
      </c>
      <c r="D22" s="12">
        <f>VLOOKUP(A22,Dataset!$A$1:$X$40,18,FALSE)</f>
        <v>-1</v>
      </c>
      <c r="E22" s="12">
        <f>VLOOKUP(A22,Dataset!$A$1:$X$40,20,FALSE)</f>
        <v>-1</v>
      </c>
      <c r="F22" s="8">
        <f>VLOOKUP(A22,Dataset!$A$1:$X$40,22,FALSE)</f>
        <v>-1</v>
      </c>
    </row>
    <row r="23" spans="1:6" ht="14.4" x14ac:dyDescent="0.3">
      <c r="A23" s="7" t="s">
        <v>31</v>
      </c>
      <c r="B23" s="12">
        <f>VLOOKUP(A23,Dataset!$A$1:$X$40,7,FALSE)</f>
        <v>45</v>
      </c>
      <c r="C23" s="12">
        <f>VLOOKUP(A23,Dataset!$A$1:$X$40,13,FALSE)</f>
        <v>90.9</v>
      </c>
      <c r="D23" s="12">
        <f>VLOOKUP(A23,Dataset!$A$1:$X$40,18,FALSE)</f>
        <v>79.400000000000006</v>
      </c>
      <c r="E23" s="12">
        <f>VLOOKUP(A23,Dataset!$A$1:$X$40,20,FALSE)</f>
        <v>160.9</v>
      </c>
      <c r="F23" s="8">
        <f>VLOOKUP(A23,Dataset!$A$1:$X$40,22,FALSE)</f>
        <v>79.400000000000006</v>
      </c>
    </row>
    <row r="24" spans="1:6" ht="14.4" x14ac:dyDescent="0.3">
      <c r="A24" s="7" t="s">
        <v>32</v>
      </c>
      <c r="B24" s="12">
        <f>VLOOKUP(A24,Dataset!$A$1:$X$40,7,FALSE)</f>
        <v>-1</v>
      </c>
      <c r="C24" s="12">
        <f>VLOOKUP(A24,Dataset!$A$1:$X$40,13,FALSE)</f>
        <v>-1</v>
      </c>
      <c r="D24" s="12">
        <f>VLOOKUP(A24,Dataset!$A$1:$X$40,18,FALSE)</f>
        <v>-1</v>
      </c>
      <c r="E24" s="12">
        <f>VLOOKUP(A24,Dataset!$A$1:$X$40,20,FALSE)</f>
        <v>-1</v>
      </c>
      <c r="F24" s="8">
        <f>VLOOKUP(A24,Dataset!$A$1:$X$40,22,FALSE)</f>
        <v>-1</v>
      </c>
    </row>
    <row r="25" spans="1:6" ht="14.4" x14ac:dyDescent="0.3">
      <c r="A25" s="7" t="s">
        <v>34</v>
      </c>
      <c r="B25" s="12">
        <f>VLOOKUP(A25,Dataset!$A$1:$X$40,7,FALSE)</f>
        <v>43.3</v>
      </c>
      <c r="C25" s="12">
        <f>VLOOKUP(A25,Dataset!$A$1:$X$40,13,FALSE)</f>
        <v>87.6</v>
      </c>
      <c r="D25" s="12">
        <f>VLOOKUP(A25,Dataset!$A$1:$X$40,18,FALSE)</f>
        <v>79.400000000000006</v>
      </c>
      <c r="E25" s="12">
        <f>VLOOKUP(A25,Dataset!$A$1:$X$40,20,FALSE)</f>
        <v>160.9</v>
      </c>
      <c r="F25" s="8">
        <f>VLOOKUP(A25,Dataset!$A$1:$X$40,22,FALSE)</f>
        <v>79.400000000000006</v>
      </c>
    </row>
    <row r="26" spans="1:6" ht="14.4" x14ac:dyDescent="0.3">
      <c r="A26" s="7" t="s">
        <v>37</v>
      </c>
      <c r="B26" s="12">
        <f>VLOOKUP(A26,Dataset!$A$1:$X$40,7,FALSE)</f>
        <v>49.1</v>
      </c>
      <c r="C26" s="12">
        <f>VLOOKUP(A26,Dataset!$A$1:$X$40,13,FALSE)</f>
        <v>99.5</v>
      </c>
      <c r="D26" s="12">
        <f>VLOOKUP(A26,Dataset!$A$1:$X$40,18,FALSE)</f>
        <v>90.9</v>
      </c>
      <c r="E26" s="12">
        <f>VLOOKUP(A26,Dataset!$A$1:$X$40,20,FALSE)</f>
        <v>183.5</v>
      </c>
      <c r="F26" s="8">
        <f>VLOOKUP(A26,Dataset!$A$1:$X$40,22,FALSE)</f>
        <v>90.9</v>
      </c>
    </row>
    <row r="27" spans="1:6" ht="14.4" x14ac:dyDescent="0.3">
      <c r="A27" s="7" t="s">
        <v>39</v>
      </c>
      <c r="B27" s="12">
        <f>VLOOKUP(A27,Dataset!$A$1:$X$40,7,FALSE)</f>
        <v>51.8</v>
      </c>
      <c r="C27" s="12">
        <f>VLOOKUP(A27,Dataset!$A$1:$X$40,13,FALSE)</f>
        <v>104.5</v>
      </c>
      <c r="D27" s="12">
        <f>VLOOKUP(A27,Dataset!$A$1:$X$40,18,FALSE)</f>
        <v>93.1</v>
      </c>
      <c r="E27" s="12">
        <f>VLOOKUP(A27,Dataset!$A$1:$X$40,20,FALSE)</f>
        <v>188.1</v>
      </c>
      <c r="F27" s="8">
        <f>VLOOKUP(A27,Dataset!$A$1:$X$40,22,FALSE)</f>
        <v>93.1</v>
      </c>
    </row>
    <row r="28" spans="1:6" ht="14.4" x14ac:dyDescent="0.3">
      <c r="A28" s="19" t="s">
        <v>82</v>
      </c>
      <c r="B28" s="12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12">
        <f>MAX(B6:B27)</f>
        <v>51.8</v>
      </c>
      <c r="C29" s="31">
        <f>MAX(C6:C27)</f>
        <v>104.5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12">
        <f>AVERAGE(B6:B27)</f>
        <v>20.827272727272728</v>
      </c>
      <c r="C30" s="31">
        <f>AVERAGE(C6:C27)</f>
        <v>42.209090909090904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54"/>
  <sheetViews>
    <sheetView zoomScaleNormal="100" workbookViewId="0">
      <selection activeCell="G8" sqref="G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 t="s">
        <v>177</v>
      </c>
    </row>
    <row r="6" spans="1:10" ht="18" x14ac:dyDescent="0.35">
      <c r="A6" s="43" t="s">
        <v>152</v>
      </c>
      <c r="B6" s="40" t="s">
        <v>178</v>
      </c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22"/>
  <sheetViews>
    <sheetView zoomScaleNormal="100" workbookViewId="0">
      <selection activeCell="H14" sqref="H14"/>
    </sheetView>
  </sheetViews>
  <sheetFormatPr defaultColWidth="11" defaultRowHeight="13.8" x14ac:dyDescent="0.3"/>
  <cols>
    <col min="1" max="1" width="28.109375" style="2" bestFit="1" customWidth="1"/>
    <col min="2" max="2" width="17.7773437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33203125" style="2" bestFit="1" customWidth="1"/>
    <col min="7" max="8" width="14.66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0937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152</v>
      </c>
      <c r="B7" s="1"/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35"/>
  <sheetViews>
    <sheetView tabSelected="1" zoomScaleNormal="100" workbookViewId="0">
      <selection activeCell="K15" sqref="K15"/>
    </sheetView>
  </sheetViews>
  <sheetFormatPr defaultColWidth="11" defaultRowHeight="13.8" x14ac:dyDescent="0.3"/>
  <cols>
    <col min="1" max="1" width="31.5546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 t="s">
        <v>181</v>
      </c>
    </row>
    <row r="5" spans="1:14" ht="18" x14ac:dyDescent="0.35">
      <c r="A5" s="43" t="s">
        <v>152</v>
      </c>
      <c r="B5" s="1" t="s">
        <v>182</v>
      </c>
    </row>
    <row r="6" spans="1:14" ht="14.4" x14ac:dyDescent="0.3">
      <c r="A6" s="3"/>
      <c r="B6" s="1" t="s">
        <v>183</v>
      </c>
    </row>
    <row r="7" spans="1:14" x14ac:dyDescent="0.3">
      <c r="B7" s="2" t="s">
        <v>184</v>
      </c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>
        <f>INDEX($A$9:$J$18,MATCH(VLOOKUP(A23,$M$9:$N$18,2,0),$A$9:$A$18,0),MATCH(VLOOKUP(B23,$M$9:$N$18,2,0),$A$9:$J$9,0))</f>
        <v>95</v>
      </c>
    </row>
    <row r="24" spans="1:14" ht="14.4" x14ac:dyDescent="0.3">
      <c r="A24" s="7">
        <v>10100</v>
      </c>
      <c r="B24" s="12">
        <v>10104</v>
      </c>
      <c r="C24" s="45">
        <f t="shared" ref="C24:C35" si="0">INDEX($A$9:$J$18,MATCH(VLOOKUP(A24,$M$9:$N$18,2,0),$A$9:$A$18,0),MATCH(VLOOKUP(B24,$M$9:$N$18,2,0),$A$9:$J$9,0))</f>
        <v>-1</v>
      </c>
    </row>
    <row r="25" spans="1:14" ht="14.4" x14ac:dyDescent="0.3">
      <c r="A25" s="7">
        <v>10108</v>
      </c>
      <c r="B25" s="12">
        <v>10102</v>
      </c>
      <c r="C25" s="45">
        <f t="shared" si="0"/>
        <v>160</v>
      </c>
    </row>
    <row r="26" spans="1:14" ht="14.4" x14ac:dyDescent="0.3">
      <c r="A26" s="7">
        <v>10100</v>
      </c>
      <c r="B26" s="12">
        <v>10106</v>
      </c>
      <c r="C26" s="45">
        <f t="shared" si="0"/>
        <v>185</v>
      </c>
    </row>
    <row r="27" spans="1:14" ht="14.4" x14ac:dyDescent="0.3">
      <c r="A27" s="7">
        <v>10108</v>
      </c>
      <c r="B27" s="12">
        <v>10110</v>
      </c>
      <c r="C27" s="45">
        <f t="shared" si="0"/>
        <v>50</v>
      </c>
    </row>
    <row r="28" spans="1:14" ht="14.4" x14ac:dyDescent="0.3">
      <c r="A28" s="7">
        <v>10102</v>
      </c>
      <c r="B28" s="12">
        <v>10104</v>
      </c>
      <c r="C28" s="45">
        <f t="shared" si="0"/>
        <v>-1</v>
      </c>
    </row>
    <row r="29" spans="1:14" ht="14.4" x14ac:dyDescent="0.3">
      <c r="A29" s="7">
        <v>10106</v>
      </c>
      <c r="B29" s="12">
        <v>10108</v>
      </c>
      <c r="C29" s="45">
        <f t="shared" si="0"/>
        <v>70</v>
      </c>
    </row>
    <row r="30" spans="1:14" ht="14.4" x14ac:dyDescent="0.3">
      <c r="A30" s="7">
        <v>10102</v>
      </c>
      <c r="B30" s="12">
        <v>10106</v>
      </c>
      <c r="C30" s="45">
        <f t="shared" si="0"/>
        <v>90</v>
      </c>
    </row>
    <row r="31" spans="1:14" ht="14.4" x14ac:dyDescent="0.3">
      <c r="A31" s="7">
        <v>10110</v>
      </c>
      <c r="B31" s="12">
        <v>10114</v>
      </c>
      <c r="C31" s="45">
        <f t="shared" si="0"/>
        <v>180</v>
      </c>
    </row>
    <row r="32" spans="1:14" ht="14.4" x14ac:dyDescent="0.3">
      <c r="A32" s="7">
        <v>10104</v>
      </c>
      <c r="B32" s="12">
        <v>10106</v>
      </c>
      <c r="C32" s="45">
        <f t="shared" si="0"/>
        <v>60</v>
      </c>
    </row>
    <row r="33" spans="1:3" ht="14.4" x14ac:dyDescent="0.3">
      <c r="A33" s="7">
        <v>10110</v>
      </c>
      <c r="B33" s="12">
        <v>10112</v>
      </c>
      <c r="C33" s="45">
        <f t="shared" si="0"/>
        <v>115</v>
      </c>
    </row>
    <row r="34" spans="1:3" ht="14.4" x14ac:dyDescent="0.3">
      <c r="A34" s="7">
        <v>10100</v>
      </c>
      <c r="B34" s="12">
        <v>10114</v>
      </c>
      <c r="C34" s="45">
        <f t="shared" si="0"/>
        <v>480</v>
      </c>
    </row>
    <row r="35" spans="1:3" ht="14.4" x14ac:dyDescent="0.3">
      <c r="A35" s="9">
        <v>10112</v>
      </c>
      <c r="B35" s="13">
        <v>10116</v>
      </c>
      <c r="C35" s="45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Maitrey Trivedi</cp:lastModifiedBy>
  <dcterms:created xsi:type="dcterms:W3CDTF">2015-02-10T17:33:11Z</dcterms:created>
  <dcterms:modified xsi:type="dcterms:W3CDTF">2024-10-23T05:41:34Z</dcterms:modified>
</cp:coreProperties>
</file>